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Produção do app" sheetId="3" state="visible" r:id="rId3"/>
    <sheet xmlns:r="http://schemas.openxmlformats.org/officeDocument/2006/relationships" name="Manutenção 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  <font>
      <b val="1"/>
      <sz val="12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99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164" fontId="3" fillId="0" borderId="1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3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>
      <c r="A1" s="1" t="inlineStr">
        <is>
          <t>Nivela: custo do app</t>
        </is>
      </c>
    </row>
    <row r="2">
      <c r="A2" t="inlineStr">
        <is>
          <t>Valores estimados. Mude as células em azul nas outras abas e tudo se recalcula.</t>
        </is>
      </c>
    </row>
    <row r="4">
      <c r="A4" s="2" t="inlineStr"/>
      <c r="B4" s="2" t="inlineStr">
        <is>
          <t>Valor</t>
        </is>
      </c>
    </row>
    <row r="5">
      <c r="A5" s="3" t="inlineStr">
        <is>
          <t>Custo de produção (uma vez)</t>
        </is>
      </c>
      <c r="B5" s="4">
        <f>'Produção do app'!E17</f>
        <v/>
      </c>
    </row>
    <row r="6">
      <c r="A6" s="3" t="inlineStr">
        <is>
          <t>Manutenção por mês (hoje)</t>
        </is>
      </c>
      <c r="B6" s="4">
        <f>'Manutenção mensal'!E15</f>
        <v/>
      </c>
    </row>
    <row r="7">
      <c r="A7" s="5" t="inlineStr">
        <is>
          <t>Manutenção por ano (hoje)</t>
        </is>
      </c>
      <c r="B7" s="6">
        <f>B6*12</f>
        <v/>
      </c>
    </row>
    <row r="8">
      <c r="A8" s="5" t="inlineStr">
        <is>
          <t>Manutenção por mês (se crescer)</t>
        </is>
      </c>
      <c r="B8" s="6">
        <f>'Manutenção mensal'!E21</f>
        <v/>
      </c>
    </row>
    <row r="9">
      <c r="A9" s="5" t="inlineStr">
        <is>
          <t>Custo no 1º ano (produção + manutenção)</t>
        </is>
      </c>
      <c r="B9" s="6">
        <f>B5+B7</f>
        <v/>
      </c>
    </row>
    <row r="11">
      <c r="A11" s="7" t="inlineStr">
        <is>
          <t>O que o custo cobre</t>
        </is>
      </c>
    </row>
    <row r="12">
      <c r="A12" t="inlineStr">
        <is>
          <t>App de 32 telas e 16 exercícios com animação 3D, feito em React e TypeScript.</t>
        </is>
      </c>
    </row>
    <row r="13">
      <c r="A13" t="inlineStr">
        <is>
          <t>Sem servidor: os dados ficam no aparelho e o site roda de graça no GitHub Pages.</t>
        </is>
      </c>
    </row>
    <row r="14">
      <c r="A14" t="inlineStr">
        <is>
          <t>Por isso o custo é quase todo de pessoas, não de infraestrutura.</t>
        </is>
      </c>
    </row>
    <row r="15">
      <c r="A15" t="inlineStr">
        <is>
          <t>Não inclui a plataforma física nem o frete dela.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8" t="inlineStr">
        <is>
          <t>Premissas (células em azul podem ser editadas)</t>
        </is>
      </c>
    </row>
    <row r="3">
      <c r="A3" s="2" t="inlineStr">
        <is>
          <t>Equipe PJ (tabela da disciplina)</t>
        </is>
      </c>
      <c r="B3" s="2" t="inlineStr">
        <is>
          <t>Valor por ano</t>
        </is>
      </c>
      <c r="C3" s="2" t="inlineStr">
        <is>
          <t>Valor por mês</t>
        </is>
      </c>
    </row>
    <row r="4">
      <c r="A4" s="5" t="inlineStr">
        <is>
          <t>1º nível</t>
        </is>
      </c>
      <c r="B4" s="9" t="n">
        <v>440000</v>
      </c>
      <c r="C4" s="6">
        <f>B4/12</f>
        <v/>
      </c>
    </row>
    <row r="5">
      <c r="A5" s="5" t="inlineStr">
        <is>
          <t>2º nível</t>
        </is>
      </c>
      <c r="B5" s="9" t="n">
        <v>220000</v>
      </c>
      <c r="C5" s="6">
        <f>B5/12</f>
        <v/>
      </c>
    </row>
    <row r="6">
      <c r="A6" s="5" t="inlineStr">
        <is>
          <t>3º nível</t>
        </is>
      </c>
      <c r="B6" s="9" t="n">
        <v>150000</v>
      </c>
      <c r="C6" s="6">
        <f>B6/12</f>
        <v/>
      </c>
    </row>
    <row r="7">
      <c r="A7" s="5" t="inlineStr">
        <is>
          <t>4º nível</t>
        </is>
      </c>
      <c r="B7" s="9" t="n">
        <v>44000</v>
      </c>
      <c r="C7" s="6">
        <f>B7/12</f>
        <v/>
      </c>
    </row>
    <row r="8">
      <c r="A8" s="5" t="inlineStr">
        <is>
          <t>5º nível</t>
        </is>
      </c>
      <c r="B8" s="9" t="n">
        <v>30800</v>
      </c>
      <c r="C8" s="6">
        <f>B8/12</f>
        <v/>
      </c>
    </row>
    <row r="10">
      <c r="A10" t="inlineStr">
        <is>
          <t>Câmbio (R$ por US$)</t>
        </is>
      </c>
      <c r="B10" s="10" t="n">
        <v>5.5</v>
      </c>
    </row>
    <row r="12">
      <c r="A12" s="7" t="inlineStr">
        <is>
          <t>Sobre os níveis</t>
        </is>
      </c>
    </row>
    <row r="13">
      <c r="A13" t="inlineStr">
        <is>
          <t>O valor da tabela é por ano e por pessoa; o mensal é o anual dividido por 12.</t>
        </is>
      </c>
    </row>
    <row r="14">
      <c r="A14" t="inlineStr">
        <is>
          <t>Usamos: 2º nível = gerente de projeto, 3º = desenvolvedor sênior, 4º = designer UI/UX, 5º = testes/QA.</t>
        </is>
      </c>
    </row>
    <row r="15">
      <c r="A15" t="inlineStr">
        <is>
          <t>O frete da tabela (20% a 30% do custo unitário) vale só para o produto físico, não para o app.</t>
        </is>
      </c>
    </row>
    <row r="17">
      <c r="A17" s="7" t="inlineStr">
        <is>
          <t>Base do repositório (até 12/10/2026)</t>
        </is>
      </c>
    </row>
    <row r="18">
      <c r="A18" t="inlineStr">
        <is>
          <t>Telas prototipadas</t>
        </is>
      </c>
      <c r="B18" t="n">
        <v>32</v>
      </c>
    </row>
    <row r="19">
      <c r="A19" t="inlineStr">
        <is>
          <t>Exercícios com animação 3D</t>
        </is>
      </c>
      <c r="B19" t="n">
        <v>16</v>
      </c>
    </row>
    <row r="20">
      <c r="A20" t="inlineStr">
        <is>
          <t>Arquivos de código (.ts/.tsx)</t>
        </is>
      </c>
      <c r="B20" t="n">
        <v>215</v>
      </c>
    </row>
    <row r="21">
      <c r="A21" t="inlineStr">
        <is>
          <t>Linhas de código</t>
        </is>
      </c>
      <c r="B21" t="inlineStr">
        <is>
          <t>≈ 24.600</t>
        </is>
      </c>
    </row>
    <row r="22">
      <c r="A22" t="inlineStr">
        <is>
          <t>Backend / banco de dados</t>
        </is>
      </c>
      <c r="B22" t="inlineStr">
        <is>
          <t>Nenhum (dados no aparelho)</t>
        </is>
      </c>
    </row>
    <row r="23">
      <c r="A23" t="inlineStr">
        <is>
          <t>Hospedagem</t>
        </is>
      </c>
      <c r="B23" t="inlineStr">
        <is>
          <t>GitHub Pages (gratuito)</t>
        </is>
      </c>
    </row>
    <row r="24">
      <c r="A24" t="inlineStr">
        <is>
          <t>Sensores</t>
        </is>
      </c>
      <c r="B24" t="inlineStr">
        <is>
          <t>Simulados (sem Bluetooth)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18" customWidth="1" min="3" max="3"/>
    <col width="16" customWidth="1" min="4" max="4"/>
    <col width="18" customWidth="1" min="5" max="5"/>
  </cols>
  <sheetData>
    <row r="1">
      <c r="A1" s="8" t="inlineStr">
        <is>
          <t>Custo de produção do app (uma vez)</t>
        </is>
      </c>
    </row>
    <row r="3">
      <c r="A3" s="2" t="inlineStr">
        <is>
          <t>Item</t>
        </is>
      </c>
      <c r="B3" s="2" t="inlineStr">
        <is>
          <t>Nível PJ</t>
        </is>
      </c>
      <c r="C3" s="2" t="inlineStr">
        <is>
          <t>Meses de trabalho</t>
        </is>
      </c>
      <c r="D3" s="2" t="inlineStr">
        <is>
          <t>Custo por mês</t>
        </is>
      </c>
      <c r="E3" s="2" t="inlineStr">
        <is>
          <t>Total</t>
        </is>
      </c>
    </row>
    <row r="4">
      <c r="A4" t="inlineStr">
        <is>
          <t>Gerente de projeto</t>
        </is>
      </c>
      <c r="B4" t="inlineStr">
        <is>
          <t>2º nível</t>
        </is>
      </c>
      <c r="C4" s="11" t="n">
        <v>1</v>
      </c>
      <c r="D4" s="12">
        <f>Premissas!C5</f>
        <v/>
      </c>
      <c r="E4" s="12">
        <f>C4*D4</f>
        <v/>
      </c>
    </row>
    <row r="5">
      <c r="A5" t="inlineStr">
        <is>
          <t>Desenvolvedor sênior</t>
        </is>
      </c>
      <c r="B5" t="inlineStr">
        <is>
          <t>3º nível</t>
        </is>
      </c>
      <c r="C5" s="11" t="n">
        <v>3</v>
      </c>
      <c r="D5" s="12">
        <f>Premissas!C6</f>
        <v/>
      </c>
      <c r="E5" s="12">
        <f>C5*D5</f>
        <v/>
      </c>
    </row>
    <row r="6">
      <c r="A6" t="inlineStr">
        <is>
          <t>Designer UI/UX</t>
        </is>
      </c>
      <c r="B6" t="inlineStr">
        <is>
          <t>4º nível</t>
        </is>
      </c>
      <c r="C6" s="11" t="n">
        <v>1.5</v>
      </c>
      <c r="D6" s="12">
        <f>Premissas!C7</f>
        <v/>
      </c>
      <c r="E6" s="12">
        <f>C6*D6</f>
        <v/>
      </c>
    </row>
    <row r="7">
      <c r="A7" t="inlineStr">
        <is>
          <t>Testes / QA</t>
        </is>
      </c>
      <c r="B7" t="inlineStr">
        <is>
          <t>5º nível</t>
        </is>
      </c>
      <c r="C7" s="11" t="n">
        <v>1</v>
      </c>
      <c r="D7" s="12">
        <f>Premissas!C8</f>
        <v/>
      </c>
      <c r="E7" s="12">
        <f>C7*D7</f>
        <v/>
      </c>
    </row>
    <row r="8">
      <c r="A8" s="7" t="inlineStr">
        <is>
          <t>Subtotal equipe</t>
        </is>
      </c>
      <c r="E8" s="13">
        <f>SUM(E4:E7)</f>
        <v/>
      </c>
    </row>
    <row r="10">
      <c r="A10" s="2" t="inlineStr">
        <is>
          <t>Item</t>
        </is>
      </c>
      <c r="B10" s="2" t="inlineStr">
        <is>
          <t>Observação</t>
        </is>
      </c>
      <c r="C10" s="2" t="inlineStr">
        <is>
          <t>Valor</t>
        </is>
      </c>
      <c r="D10" s="2" t="inlineStr"/>
      <c r="E10" s="2" t="inlineStr">
        <is>
          <t>Total</t>
        </is>
      </c>
    </row>
    <row r="11">
      <c r="A11" t="inlineStr">
        <is>
          <t>Hospedagem (GitHub Pages)</t>
        </is>
      </c>
      <c r="B11" t="inlineStr">
        <is>
          <t>Gratuito para o site estático</t>
        </is>
      </c>
      <c r="C11" s="10" t="n">
        <v>0</v>
      </c>
      <c r="E11" s="12">
        <f>C11</f>
        <v/>
      </c>
    </row>
    <row r="12">
      <c r="A12" t="inlineStr">
        <is>
          <t>Domínio próprio (1º ano)</t>
        </is>
      </c>
      <c r="B12" t="inlineStr">
        <is>
          <t>Opcional; a demo usa o link do GitHub Pages</t>
        </is>
      </c>
      <c r="C12" s="10" t="n">
        <v>40</v>
      </c>
      <c r="E12" s="12">
        <f>C12</f>
        <v/>
      </c>
    </row>
    <row r="13">
      <c r="A13" t="inlineStr">
        <is>
          <t>Figma</t>
        </is>
      </c>
      <c r="B13" t="inlineStr">
        <is>
          <t>O protótipo usa o plano gratuito; paga se precisar de mais</t>
        </is>
      </c>
      <c r="C13" s="10" t="n">
        <v>0</v>
      </c>
      <c r="E13" s="12">
        <f>C13</f>
        <v/>
      </c>
    </row>
    <row r="14">
      <c r="A14" t="inlineStr">
        <is>
          <t>Reserva para imprevistos (10%)</t>
        </is>
      </c>
      <c r="B14" t="inlineStr">
        <is>
          <t>Sobre o subtotal da equipe</t>
        </is>
      </c>
      <c r="C14" s="12">
        <f>E8*0.1</f>
        <v/>
      </c>
      <c r="E14" s="12">
        <f>C14</f>
        <v/>
      </c>
    </row>
    <row r="15">
      <c r="A15" s="7" t="inlineStr">
        <is>
          <t>Subtotal outros</t>
        </is>
      </c>
      <c r="E15" s="13">
        <f>SUM(E11:E14)</f>
        <v/>
      </c>
    </row>
    <row r="17">
      <c r="A17" s="14" t="inlineStr">
        <is>
          <t>CUSTO DE PRODUÇÃO DO APP</t>
        </is>
      </c>
      <c r="E17" s="15">
        <f>E8+E15</f>
        <v/>
      </c>
    </row>
    <row r="19">
      <c r="A19" s="7" t="inlineStr">
        <is>
          <t>Opcional: publicar nas lojas (não incluído no total)</t>
        </is>
      </c>
    </row>
    <row r="20">
      <c r="A20" t="inlineStr">
        <is>
          <t>Conta Apple Developer (US$ 99/ano)</t>
        </is>
      </c>
      <c r="E20" s="12">
        <f>99*Premissas!B10</f>
        <v/>
      </c>
    </row>
    <row r="21">
      <c r="A21" t="inlineStr">
        <is>
          <t>Conta Google Play (US$ 25, paga uma vez)</t>
        </is>
      </c>
      <c r="E21" s="12">
        <f>25*Premissas!B10</f>
        <v/>
      </c>
    </row>
    <row r="23">
      <c r="A23" t="inlineStr">
        <is>
          <t>Fora deste custo: a plataforma física (sensores, barras, estrutura) e o frete dela.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18" customWidth="1" min="3" max="3"/>
    <col width="16" customWidth="1" min="4" max="4"/>
    <col width="18" customWidth="1" min="5" max="5"/>
  </cols>
  <sheetData>
    <row r="1">
      <c r="A1" s="8" t="inlineStr">
        <is>
          <t>Custo de manutenção do app (por mês)</t>
        </is>
      </c>
    </row>
    <row r="3">
      <c r="A3" s="2" t="inlineStr">
        <is>
          <t>Item</t>
        </is>
      </c>
      <c r="B3" s="2" t="inlineStr">
        <is>
          <t>Nível PJ</t>
        </is>
      </c>
      <c r="C3" s="2" t="inlineStr">
        <is>
          <t>Fração de um mês</t>
        </is>
      </c>
      <c r="D3" s="2" t="inlineStr">
        <is>
          <t>Custo por mês</t>
        </is>
      </c>
      <c r="E3" s="2" t="inlineStr">
        <is>
          <t>Total mensal</t>
        </is>
      </c>
    </row>
    <row r="4">
      <c r="A4" t="inlineStr">
        <is>
          <t>Desenvolvedor: correções e ajustes</t>
        </is>
      </c>
      <c r="B4" t="inlineStr">
        <is>
          <t>3º nível</t>
        </is>
      </c>
      <c r="C4" s="16" t="n">
        <v>0.15</v>
      </c>
      <c r="D4" s="12">
        <f>Premissas!C6</f>
        <v/>
      </c>
      <c r="E4" s="12">
        <f>C4*D4</f>
        <v/>
      </c>
    </row>
    <row r="5">
      <c r="A5" t="inlineStr">
        <is>
          <t>Testes / QA: conferir cada versão</t>
        </is>
      </c>
      <c r="B5" t="inlineStr">
        <is>
          <t>5º nível</t>
        </is>
      </c>
      <c r="C5" s="16" t="n">
        <v>0.1</v>
      </c>
      <c r="D5" s="12">
        <f>Premissas!C8</f>
        <v/>
      </c>
      <c r="E5" s="12">
        <f>C5*D5</f>
        <v/>
      </c>
    </row>
    <row r="6">
      <c r="A6" t="inlineStr">
        <is>
          <t>Gerente: acompanhamento</t>
        </is>
      </c>
      <c r="B6" t="inlineStr">
        <is>
          <t>2º nível</t>
        </is>
      </c>
      <c r="C6" s="16" t="n">
        <v>0.03</v>
      </c>
      <c r="D6" s="12">
        <f>Premissas!C5</f>
        <v/>
      </c>
      <c r="E6" s="12">
        <f>C6*D6</f>
        <v/>
      </c>
    </row>
    <row r="7">
      <c r="A7" s="7" t="inlineStr">
        <is>
          <t>Subtotal equipe</t>
        </is>
      </c>
      <c r="E7" s="13">
        <f>SUM(E4:E6)</f>
        <v/>
      </c>
    </row>
    <row r="9">
      <c r="A9" s="2" t="inlineStr">
        <is>
          <t>Item</t>
        </is>
      </c>
      <c r="B9" s="2" t="inlineStr">
        <is>
          <t>Observação</t>
        </is>
      </c>
      <c r="C9" s="2" t="inlineStr">
        <is>
          <t>Valor</t>
        </is>
      </c>
      <c r="D9" s="2" t="inlineStr"/>
      <c r="E9" s="2" t="inlineStr">
        <is>
          <t>Total mensal</t>
        </is>
      </c>
    </row>
    <row r="10">
      <c r="A10" t="inlineStr">
        <is>
          <t>Hospedagem (GitHub Pages)</t>
        </is>
      </c>
      <c r="B10" t="inlineStr">
        <is>
          <t>Gratuito</t>
        </is>
      </c>
      <c r="C10" s="12" t="n">
        <v>0</v>
      </c>
      <c r="E10" s="12">
        <f>C10</f>
        <v/>
      </c>
    </row>
    <row r="11">
      <c r="A11" t="inlineStr">
        <is>
          <t>Domínio próprio</t>
        </is>
      </c>
      <c r="B11" t="inlineStr">
        <is>
          <t>R$ 40 por ano, dividido por 12</t>
        </is>
      </c>
      <c r="C11" s="12">
        <f>40/12</f>
        <v/>
      </c>
      <c r="E11" s="12">
        <f>C11</f>
        <v/>
      </c>
    </row>
    <row r="12">
      <c r="A12" t="inlineStr">
        <is>
          <t>Atualizar dependências e segurança</t>
        </is>
      </c>
      <c r="B12" t="inlineStr">
        <is>
          <t>Já incluído no tempo do desenvolvedor</t>
        </is>
      </c>
      <c r="C12" s="12" t="n">
        <v>0</v>
      </c>
      <c r="E12" s="12">
        <f>C12</f>
        <v/>
      </c>
    </row>
    <row r="13">
      <c r="A13" s="7" t="inlineStr">
        <is>
          <t>Subtotal fixos</t>
        </is>
      </c>
      <c r="E13" s="13">
        <f>SUM(E10:E12)</f>
        <v/>
      </c>
    </row>
    <row r="15">
      <c r="A15" s="14" t="inlineStr">
        <is>
          <t>MANUTENÇÃO MENSAL HOJE</t>
        </is>
      </c>
      <c r="E15" s="15">
        <f>E7+E13</f>
        <v/>
      </c>
    </row>
    <row r="17">
      <c r="A17" s="7" t="inlineStr">
        <is>
          <t>Se o app crescer (não incluído acima)</t>
        </is>
      </c>
    </row>
    <row r="18">
      <c r="A18" t="inlineStr">
        <is>
          <t>Apple Developer (US$ 99/ano ÷ 12)</t>
        </is>
      </c>
      <c r="E18" s="12">
        <f>99*Premissas!B10/12</f>
        <v/>
      </c>
    </row>
    <row r="19">
      <c r="A19" t="inlineStr">
        <is>
          <t>Backend e banco de dados (contas reais, histórico na nuvem)</t>
        </is>
      </c>
      <c r="E19" s="10" t="n">
        <v>150</v>
      </c>
    </row>
    <row r="20">
      <c r="A20" t="inlineStr">
        <is>
          <t>Monitoramento de erros e e-mail de suporte</t>
        </is>
      </c>
      <c r="E20" s="10" t="n">
        <v>80</v>
      </c>
    </row>
    <row r="21">
      <c r="A21" s="7" t="inlineStr">
        <is>
          <t>MANUTENÇÃO MENSAL SE CRESCER</t>
        </is>
      </c>
      <c r="E21" s="13">
        <f>E15+SUM(E18:E20)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2026-10-14T19:23:43Z</dcterms:created>
  <dcterms:modified xmlns:dcterms="http://purl.org/dc/terms/" xmlns:xsi="http://www.w3.org/2001/XMLSchema-instance" xsi:type="dcterms:W3CDTF">2026-10-14T19:23:43Z</dcterms:modified>
</cp:coreProperties>
</file>